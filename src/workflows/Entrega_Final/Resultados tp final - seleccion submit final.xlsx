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\Documents\Universidad Austral\Laboratorio 1\"/>
    </mc:Choice>
  </mc:AlternateContent>
  <xr:revisionPtr revIDLastSave="0" documentId="13_ncr:1_{27B3DF1B-948C-4E3A-93F3-79AA4F52A06D}" xr6:coauthVersionLast="47" xr6:coauthVersionMax="47" xr10:uidLastSave="{00000000-0000-0000-0000-000000000000}"/>
  <bookViews>
    <workbookView xWindow="-110" yWindow="-110" windowWidth="19420" windowHeight="10420" xr2:uid="{5BE44CBF-FB5A-4149-8DE8-EA82D7FA28A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7" i="1" l="1"/>
  <c r="J37" i="1"/>
  <c r="I37" i="1"/>
  <c r="H37" i="1"/>
  <c r="G37" i="1"/>
  <c r="F37" i="1"/>
  <c r="E37" i="1"/>
  <c r="K36" i="1"/>
  <c r="J36" i="1"/>
  <c r="I36" i="1"/>
  <c r="L35" i="1" s="1"/>
  <c r="H36" i="1"/>
  <c r="G36" i="1"/>
  <c r="F36" i="1"/>
  <c r="E36" i="1"/>
  <c r="K28" i="1"/>
  <c r="J28" i="1"/>
  <c r="I28" i="1"/>
  <c r="H28" i="1"/>
  <c r="G28" i="1"/>
  <c r="F28" i="1"/>
  <c r="E28" i="1"/>
  <c r="K27" i="1"/>
  <c r="J27" i="1"/>
  <c r="I27" i="1"/>
  <c r="H27" i="1"/>
  <c r="G27" i="1"/>
  <c r="F27" i="1"/>
  <c r="E27" i="1"/>
  <c r="L26" i="1" s="1"/>
  <c r="K19" i="1"/>
  <c r="J19" i="1"/>
  <c r="I19" i="1"/>
  <c r="H19" i="1"/>
  <c r="G19" i="1"/>
  <c r="F19" i="1"/>
  <c r="E19" i="1"/>
  <c r="K18" i="1"/>
  <c r="J18" i="1"/>
  <c r="L14" i="1" s="1"/>
  <c r="I18" i="1"/>
  <c r="H18" i="1"/>
  <c r="G18" i="1"/>
  <c r="F18" i="1"/>
  <c r="E18" i="1"/>
  <c r="L17" i="1"/>
  <c r="L16" i="1"/>
  <c r="L15" i="1"/>
  <c r="L13" i="1"/>
  <c r="L12" i="1"/>
  <c r="K10" i="1"/>
  <c r="J10" i="1"/>
  <c r="I10" i="1"/>
  <c r="H10" i="1"/>
  <c r="G10" i="1"/>
  <c r="F10" i="1"/>
  <c r="E10" i="1"/>
  <c r="K9" i="1"/>
  <c r="J9" i="1"/>
  <c r="I9" i="1"/>
  <c r="L6" i="1" s="1"/>
  <c r="H9" i="1"/>
  <c r="G9" i="1"/>
  <c r="F9" i="1"/>
  <c r="E9" i="1"/>
  <c r="L32" i="1" l="1"/>
  <c r="L23" i="1"/>
  <c r="L24" i="1"/>
  <c r="L33" i="1"/>
  <c r="L21" i="1"/>
  <c r="L25" i="1"/>
  <c r="L30" i="1"/>
  <c r="L34" i="1"/>
  <c r="L22" i="1"/>
  <c r="L31" i="1"/>
  <c r="L3" i="1"/>
  <c r="L7" i="1"/>
  <c r="L4" i="1"/>
  <c r="L8" i="1"/>
  <c r="L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</author>
  </authors>
  <commentList>
    <comment ref="C21" authorId="0" shapeId="0" xr:uid="{829F4161-02F4-4826-BF82-A9D756A1C6E3}">
      <text>
        <r>
          <rPr>
            <b/>
            <sz val="9"/>
            <color indexed="81"/>
            <rFont val="Tahoma"/>
            <charset val="1"/>
          </rPr>
          <t>Sofia:</t>
        </r>
        <r>
          <rPr>
            <sz val="9"/>
            <color indexed="81"/>
            <rFont val="Tahoma"/>
            <charset val="1"/>
          </rPr>
          <t xml:space="preserve">
IGUAL AL FINAL 1 + POND MESES</t>
        </r>
      </text>
    </comment>
    <comment ref="C39" authorId="0" shapeId="0" xr:uid="{278C2E8A-6D50-48CC-9511-8F99BCECEA3D}">
      <text>
        <r>
          <rPr>
            <b/>
            <sz val="9"/>
            <color indexed="81"/>
            <rFont val="Tahoma"/>
            <charset val="1"/>
          </rPr>
          <t>Sofia:</t>
        </r>
        <r>
          <rPr>
            <sz val="9"/>
            <color indexed="81"/>
            <rFont val="Tahoma"/>
            <charset val="1"/>
          </rPr>
          <t xml:space="preserve">
ES EL FINAL 1 CON DATA DRIFTING RANK CERO FIJO
</t>
        </r>
      </text>
    </comment>
  </commentList>
</comments>
</file>

<file path=xl/sharedStrings.xml><?xml version="1.0" encoding="utf-8"?>
<sst xmlns="http://schemas.openxmlformats.org/spreadsheetml/2006/main" count="60" uniqueCount="20">
  <si>
    <t>Kaggle (Envios)</t>
  </si>
  <si>
    <r>
      <t>PARAMcortes &lt;- seq(</t>
    </r>
    <r>
      <rPr>
        <sz val="7"/>
        <color rgb="FFAA5D00"/>
        <rFont val="Courier New"/>
        <family val="3"/>
      </rPr>
      <t>1800</t>
    </r>
    <r>
      <rPr>
        <sz val="7"/>
        <color rgb="FF545454"/>
        <rFont val="Courier New"/>
        <family val="3"/>
      </rPr>
      <t xml:space="preserve">, </t>
    </r>
    <r>
      <rPr>
        <sz val="7"/>
        <color rgb="FFAA5D00"/>
        <rFont val="Courier New"/>
        <family val="3"/>
      </rPr>
      <t>2400</t>
    </r>
    <r>
      <rPr>
        <sz val="7"/>
        <color rgb="FF545454"/>
        <rFont val="Courier New"/>
        <family val="3"/>
      </rPr>
      <t xml:space="preserve">, by = </t>
    </r>
    <r>
      <rPr>
        <sz val="7"/>
        <color rgb="FFAA5D00"/>
        <rFont val="Courier New"/>
        <family val="3"/>
      </rPr>
      <t>100</t>
    </r>
    <r>
      <rPr>
        <sz val="7"/>
        <color rgb="FF545454"/>
        <rFont val="Courier New"/>
        <family val="3"/>
      </rPr>
      <t xml:space="preserve">) </t>
    </r>
  </si>
  <si>
    <t>Semilla</t>
  </si>
  <si>
    <t>Metodo</t>
  </si>
  <si>
    <t>Experimento</t>
  </si>
  <si>
    <t>Original</t>
  </si>
  <si>
    <t>Prom</t>
  </si>
  <si>
    <t>Desvio</t>
  </si>
  <si>
    <t xml:space="preserve">FINAL 1 </t>
  </si>
  <si>
    <t>Catastrophe Analysis ML</t>
  </si>
  <si>
    <t>FE HIST ORNELA</t>
  </si>
  <si>
    <t xml:space="preserve">UNDERSAMPLING 0.5 </t>
  </si>
  <si>
    <t>CANARITOS</t>
  </si>
  <si>
    <t>BOOSTING GBDT</t>
  </si>
  <si>
    <t>HP LR 0,005 ERARLY 1000 NUM IT 9999</t>
  </si>
  <si>
    <t>ITERACIONES 20</t>
  </si>
  <si>
    <t>FINAL 2</t>
  </si>
  <si>
    <t>POND MESES</t>
  </si>
  <si>
    <t>FINAL 3</t>
  </si>
  <si>
    <t>Catastrophe Analysis VAGO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</si>
</sst>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545454"/>
      <name val="Courier New"/>
      <family val="3"/>
    </font>
    <font>
      <sz val="7"/>
      <color rgb="FFAA5D00"/>
      <name val="Courier New"/>
      <family val="3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0" fontId="0" fillId="2" borderId="0" xfId="0" applyFill="1"/>
    <xf numFmtId="164" fontId="0" fillId="2" borderId="0" xfId="1" applyNumberFormat="1" applyFont="1" applyFill="1"/>
    <xf numFmtId="164" fontId="0" fillId="3" borderId="0" xfId="0" applyNumberFormat="1" applyFill="1"/>
    <xf numFmtId="164" fontId="0" fillId="0" borderId="0" xfId="1" applyNumberFormat="1" applyFont="1" applyFill="1"/>
    <xf numFmtId="164" fontId="0" fillId="3" borderId="0" xfId="1" applyNumberFormat="1" applyFont="1" applyFill="1"/>
    <xf numFmtId="164" fontId="0" fillId="4" borderId="0" xfId="1" applyNumberFormat="1" applyFont="1" applyFill="1"/>
    <xf numFmtId="0" fontId="0" fillId="4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A4DF-36FA-4351-B51B-11D8FA69C4F8}">
  <dimension ref="A1:O4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0" sqref="A30:XFD39"/>
    </sheetView>
  </sheetViews>
  <sheetFormatPr baseColWidth="10" defaultRowHeight="14.5" x14ac:dyDescent="0.35"/>
  <cols>
    <col min="1" max="1" width="12.81640625" bestFit="1" customWidth="1"/>
    <col min="2" max="2" width="6.7265625" bestFit="1" customWidth="1"/>
    <col min="3" max="3" width="7.453125" bestFit="1" customWidth="1"/>
    <col min="4" max="4" width="11.453125" bestFit="1" customWidth="1"/>
    <col min="5" max="5" width="11.1796875" bestFit="1" customWidth="1"/>
    <col min="10" max="10" width="11.1796875" bestFit="1" customWidth="1"/>
  </cols>
  <sheetData>
    <row r="1" spans="1:14" x14ac:dyDescent="0.35">
      <c r="E1" s="1" t="s">
        <v>0</v>
      </c>
      <c r="F1" s="1"/>
      <c r="G1" s="1"/>
      <c r="H1" s="1"/>
      <c r="I1" s="1"/>
      <c r="J1" s="1"/>
      <c r="K1" s="1"/>
      <c r="M1" s="2" t="s">
        <v>1</v>
      </c>
    </row>
    <row r="2" spans="1:14" x14ac:dyDescent="0.35">
      <c r="A2" t="s">
        <v>2</v>
      </c>
      <c r="B2" t="s">
        <v>2</v>
      </c>
      <c r="C2" t="s">
        <v>3</v>
      </c>
      <c r="D2" t="s">
        <v>4</v>
      </c>
      <c r="E2" s="3">
        <v>1800</v>
      </c>
      <c r="F2" s="3">
        <v>1900</v>
      </c>
      <c r="G2" s="3">
        <v>2000</v>
      </c>
      <c r="H2" s="3">
        <v>2100</v>
      </c>
      <c r="I2" s="3">
        <v>2200</v>
      </c>
      <c r="J2" s="3">
        <v>2300</v>
      </c>
      <c r="K2" s="3">
        <v>2400</v>
      </c>
    </row>
    <row r="3" spans="1:14" x14ac:dyDescent="0.35">
      <c r="A3">
        <v>200003</v>
      </c>
      <c r="B3">
        <v>1</v>
      </c>
      <c r="C3" t="s">
        <v>5</v>
      </c>
      <c r="D3">
        <v>9100</v>
      </c>
      <c r="E3" s="4">
        <v>6465</v>
      </c>
      <c r="F3" s="4">
        <v>6495</v>
      </c>
      <c r="G3" s="4">
        <v>6255</v>
      </c>
      <c r="H3" s="4">
        <v>6004</v>
      </c>
      <c r="I3" s="4">
        <v>6205</v>
      </c>
      <c r="J3" s="4">
        <v>5924</v>
      </c>
      <c r="K3" s="4">
        <v>5624</v>
      </c>
      <c r="L3" s="5">
        <f>$I$9-I3</f>
        <v>425</v>
      </c>
    </row>
    <row r="4" spans="1:14" x14ac:dyDescent="0.35">
      <c r="A4">
        <v>300007</v>
      </c>
      <c r="B4">
        <v>2</v>
      </c>
      <c r="C4" t="s">
        <v>5</v>
      </c>
      <c r="D4">
        <v>9101</v>
      </c>
      <c r="E4" s="4">
        <v>6555</v>
      </c>
      <c r="F4" s="4">
        <v>6275</v>
      </c>
      <c r="G4" s="4">
        <v>5964</v>
      </c>
      <c r="H4" s="4">
        <v>5644</v>
      </c>
      <c r="I4" s="4">
        <v>6085</v>
      </c>
      <c r="J4" s="4">
        <v>6105</v>
      </c>
      <c r="K4" s="4">
        <v>6185</v>
      </c>
      <c r="L4" s="5">
        <f t="shared" ref="L4:L8" si="0">$I$9-I4</f>
        <v>545</v>
      </c>
    </row>
    <row r="5" spans="1:14" x14ac:dyDescent="0.35">
      <c r="A5">
        <v>400009</v>
      </c>
      <c r="B5">
        <v>3</v>
      </c>
      <c r="C5" t="s">
        <v>5</v>
      </c>
      <c r="D5">
        <v>9102</v>
      </c>
      <c r="E5" s="4">
        <v>7656</v>
      </c>
      <c r="F5" s="4">
        <v>7245</v>
      </c>
      <c r="G5" s="4">
        <v>7426</v>
      </c>
      <c r="H5" s="4">
        <v>7145</v>
      </c>
      <c r="I5" s="4">
        <v>7175</v>
      </c>
      <c r="J5" s="4">
        <v>7276</v>
      </c>
      <c r="K5" s="4">
        <v>7826</v>
      </c>
      <c r="L5" s="5">
        <f t="shared" si="0"/>
        <v>-545</v>
      </c>
    </row>
    <row r="6" spans="1:14" x14ac:dyDescent="0.35">
      <c r="A6">
        <v>500009</v>
      </c>
      <c r="B6">
        <v>4</v>
      </c>
      <c r="C6" t="s">
        <v>5</v>
      </c>
      <c r="D6">
        <v>9103</v>
      </c>
      <c r="E6" s="4">
        <v>6135</v>
      </c>
      <c r="F6" s="4">
        <v>6225</v>
      </c>
      <c r="G6" s="4">
        <v>5884</v>
      </c>
      <c r="H6" s="4">
        <v>6765</v>
      </c>
      <c r="I6" s="4">
        <v>6875</v>
      </c>
      <c r="J6" s="4">
        <v>6545</v>
      </c>
      <c r="K6" s="4">
        <v>6665</v>
      </c>
      <c r="L6" s="5">
        <f t="shared" si="0"/>
        <v>-245</v>
      </c>
    </row>
    <row r="7" spans="1:14" x14ac:dyDescent="0.35">
      <c r="A7">
        <v>600011</v>
      </c>
      <c r="B7">
        <v>5</v>
      </c>
      <c r="C7" t="s">
        <v>5</v>
      </c>
      <c r="D7">
        <v>9104</v>
      </c>
      <c r="E7" s="4">
        <v>6095</v>
      </c>
      <c r="F7" s="4">
        <v>6285</v>
      </c>
      <c r="G7" s="4">
        <v>7255</v>
      </c>
      <c r="H7" s="4">
        <v>7255</v>
      </c>
      <c r="I7" s="4">
        <v>6895</v>
      </c>
      <c r="J7" s="4">
        <v>6855</v>
      </c>
      <c r="K7" s="4">
        <v>6955</v>
      </c>
      <c r="L7" s="5">
        <f t="shared" si="0"/>
        <v>-265</v>
      </c>
    </row>
    <row r="8" spans="1:14" x14ac:dyDescent="0.35">
      <c r="A8" s="6">
        <v>100313</v>
      </c>
      <c r="B8">
        <v>6</v>
      </c>
      <c r="C8" t="s">
        <v>5</v>
      </c>
      <c r="D8">
        <v>9105</v>
      </c>
      <c r="E8" s="4">
        <v>6845</v>
      </c>
      <c r="F8" s="4">
        <v>6975</v>
      </c>
      <c r="G8" s="4">
        <v>7065</v>
      </c>
      <c r="H8" s="4">
        <v>6815</v>
      </c>
      <c r="I8" s="7">
        <v>6545</v>
      </c>
      <c r="J8" s="4">
        <v>7005</v>
      </c>
      <c r="K8" s="4">
        <v>6655</v>
      </c>
      <c r="L8" s="5">
        <f t="shared" si="0"/>
        <v>85</v>
      </c>
    </row>
    <row r="9" spans="1:14" x14ac:dyDescent="0.35">
      <c r="D9" t="s">
        <v>6</v>
      </c>
      <c r="E9" s="5">
        <f>AVERAGE(E3:E8)</f>
        <v>6625.166666666667</v>
      </c>
      <c r="F9" s="5">
        <f t="shared" ref="F9:K9" si="1">AVERAGE(F3:F8)</f>
        <v>6583.333333333333</v>
      </c>
      <c r="G9" s="5">
        <f t="shared" si="1"/>
        <v>6641.5</v>
      </c>
      <c r="H9" s="5">
        <f t="shared" si="1"/>
        <v>6604.666666666667</v>
      </c>
      <c r="I9" s="8">
        <f t="shared" si="1"/>
        <v>6630</v>
      </c>
      <c r="J9" s="5">
        <f t="shared" si="1"/>
        <v>6618.333333333333</v>
      </c>
      <c r="K9" s="5">
        <f t="shared" si="1"/>
        <v>6651.666666666667</v>
      </c>
    </row>
    <row r="10" spans="1:14" x14ac:dyDescent="0.35">
      <c r="D10" t="s">
        <v>7</v>
      </c>
      <c r="E10" s="4">
        <f>STDEVA(E3:E8)</f>
        <v>576.69070277460401</v>
      </c>
      <c r="F10" s="9">
        <f t="shared" ref="F10:K10" si="2">STDEVA(F3:F8)</f>
        <v>426.96213727527015</v>
      </c>
      <c r="G10" s="4">
        <f t="shared" si="2"/>
        <v>686.05677607614962</v>
      </c>
      <c r="H10" s="4">
        <f t="shared" si="2"/>
        <v>643.19846600148753</v>
      </c>
      <c r="I10" s="10">
        <f t="shared" si="2"/>
        <v>427.11825060514565</v>
      </c>
      <c r="J10" s="4">
        <f t="shared" si="2"/>
        <v>527.07406184204012</v>
      </c>
      <c r="K10" s="4">
        <f t="shared" si="2"/>
        <v>740.96360684359433</v>
      </c>
    </row>
    <row r="12" spans="1:14" x14ac:dyDescent="0.35">
      <c r="A12">
        <v>200003</v>
      </c>
      <c r="B12">
        <v>1</v>
      </c>
      <c r="C12" t="s">
        <v>8</v>
      </c>
      <c r="D12">
        <v>9106</v>
      </c>
      <c r="E12" s="4">
        <v>8477</v>
      </c>
      <c r="F12" s="4">
        <v>8176</v>
      </c>
      <c r="G12" s="4">
        <v>8366</v>
      </c>
      <c r="H12" s="4">
        <v>7996</v>
      </c>
      <c r="I12" s="4">
        <v>7766</v>
      </c>
      <c r="J12" s="4">
        <v>7456</v>
      </c>
      <c r="K12" s="4">
        <v>7596</v>
      </c>
      <c r="L12" s="5">
        <f>$J$18-J12</f>
        <v>415.16666666666697</v>
      </c>
      <c r="N12" t="s">
        <v>9</v>
      </c>
    </row>
    <row r="13" spans="1:14" x14ac:dyDescent="0.35">
      <c r="A13" s="6">
        <v>300007</v>
      </c>
      <c r="B13">
        <v>2</v>
      </c>
      <c r="C13" t="s">
        <v>8</v>
      </c>
      <c r="D13">
        <v>9107</v>
      </c>
      <c r="E13" s="4">
        <v>8487</v>
      </c>
      <c r="F13" s="4">
        <v>8186</v>
      </c>
      <c r="G13" s="4">
        <v>7906</v>
      </c>
      <c r="H13" s="4">
        <v>7986</v>
      </c>
      <c r="I13" s="4">
        <v>7726</v>
      </c>
      <c r="J13" s="7">
        <v>7866</v>
      </c>
      <c r="K13" s="4">
        <v>7586</v>
      </c>
      <c r="L13" s="5">
        <f t="shared" ref="L13:L17" si="3">$J$18-J13</f>
        <v>5.1666666666669698</v>
      </c>
      <c r="N13" t="s">
        <v>10</v>
      </c>
    </row>
    <row r="14" spans="1:14" x14ac:dyDescent="0.35">
      <c r="A14">
        <v>400009</v>
      </c>
      <c r="B14">
        <v>3</v>
      </c>
      <c r="C14" t="s">
        <v>8</v>
      </c>
      <c r="D14">
        <v>9108</v>
      </c>
      <c r="E14" s="4">
        <v>7876</v>
      </c>
      <c r="F14" s="4">
        <v>7926</v>
      </c>
      <c r="G14" s="4">
        <v>8076</v>
      </c>
      <c r="H14" s="4">
        <v>7716</v>
      </c>
      <c r="I14" s="4">
        <v>7806</v>
      </c>
      <c r="J14" s="4">
        <v>7916</v>
      </c>
      <c r="K14" s="4">
        <v>8386</v>
      </c>
      <c r="L14" s="5">
        <f t="shared" si="3"/>
        <v>-44.83333333333303</v>
      </c>
      <c r="N14" t="s">
        <v>11</v>
      </c>
    </row>
    <row r="15" spans="1:14" x14ac:dyDescent="0.35">
      <c r="A15">
        <v>500009</v>
      </c>
      <c r="B15">
        <v>4</v>
      </c>
      <c r="C15" t="s">
        <v>8</v>
      </c>
      <c r="D15">
        <v>9109</v>
      </c>
      <c r="E15" s="4">
        <v>7646</v>
      </c>
      <c r="F15" s="4">
        <v>8607</v>
      </c>
      <c r="G15" s="4">
        <v>8737</v>
      </c>
      <c r="H15" s="4">
        <v>8487</v>
      </c>
      <c r="I15" s="4">
        <v>8567</v>
      </c>
      <c r="J15" s="4">
        <v>8627</v>
      </c>
      <c r="K15" s="9">
        <v>8767</v>
      </c>
      <c r="L15" s="5">
        <f t="shared" si="3"/>
        <v>-755.83333333333303</v>
      </c>
      <c r="N15" t="s">
        <v>12</v>
      </c>
    </row>
    <row r="16" spans="1:14" x14ac:dyDescent="0.35">
      <c r="A16">
        <v>600011</v>
      </c>
      <c r="B16">
        <v>5</v>
      </c>
      <c r="C16" t="s">
        <v>8</v>
      </c>
      <c r="D16">
        <v>9110</v>
      </c>
      <c r="E16" s="4">
        <v>7836</v>
      </c>
      <c r="F16" s="4">
        <v>7566</v>
      </c>
      <c r="G16" s="4">
        <v>7255</v>
      </c>
      <c r="H16" s="4">
        <v>6995</v>
      </c>
      <c r="I16" s="4">
        <v>7075</v>
      </c>
      <c r="J16" s="4">
        <v>7936</v>
      </c>
      <c r="K16" s="4">
        <v>7976</v>
      </c>
      <c r="L16" s="5">
        <f t="shared" si="3"/>
        <v>-64.83333333333303</v>
      </c>
      <c r="N16" t="s">
        <v>13</v>
      </c>
    </row>
    <row r="17" spans="1:15" x14ac:dyDescent="0.35">
      <c r="A17">
        <v>100313</v>
      </c>
      <c r="B17">
        <v>6</v>
      </c>
      <c r="C17" t="s">
        <v>8</v>
      </c>
      <c r="D17">
        <v>9111</v>
      </c>
      <c r="E17" s="4">
        <v>6955</v>
      </c>
      <c r="F17" s="4">
        <v>7075</v>
      </c>
      <c r="G17" s="4">
        <v>7546</v>
      </c>
      <c r="H17" s="4">
        <v>7215</v>
      </c>
      <c r="I17" s="4">
        <v>7716</v>
      </c>
      <c r="J17" s="4">
        <v>7426</v>
      </c>
      <c r="K17" s="4">
        <v>7486</v>
      </c>
      <c r="L17" s="5">
        <f t="shared" si="3"/>
        <v>445.16666666666697</v>
      </c>
      <c r="N17" t="s">
        <v>14</v>
      </c>
    </row>
    <row r="18" spans="1:15" x14ac:dyDescent="0.35">
      <c r="D18" t="s">
        <v>6</v>
      </c>
      <c r="E18" s="4">
        <f>AVERAGE(E12:E17)</f>
        <v>7879.5</v>
      </c>
      <c r="F18" s="4">
        <f t="shared" ref="F18:K18" si="4">AVERAGE(F12:F17)</f>
        <v>7922.666666666667</v>
      </c>
      <c r="G18" s="4">
        <f t="shared" si="4"/>
        <v>7981</v>
      </c>
      <c r="H18" s="4">
        <f t="shared" si="4"/>
        <v>7732.5</v>
      </c>
      <c r="I18" s="4">
        <f t="shared" si="4"/>
        <v>7776</v>
      </c>
      <c r="J18" s="10">
        <f t="shared" si="4"/>
        <v>7871.166666666667</v>
      </c>
      <c r="K18" s="4">
        <f t="shared" si="4"/>
        <v>7966.166666666667</v>
      </c>
      <c r="N18" t="s">
        <v>15</v>
      </c>
    </row>
    <row r="19" spans="1:15" x14ac:dyDescent="0.35">
      <c r="D19" t="s">
        <v>7</v>
      </c>
      <c r="E19" s="4">
        <f>STDEVA(E12:E17)</f>
        <v>572.22189751878602</v>
      </c>
      <c r="F19" s="4">
        <f>STDEVA(F12:F17)</f>
        <v>538.06976003736418</v>
      </c>
      <c r="G19" s="4">
        <f t="shared" ref="G19:K19" si="5">STDEVA(G12:G17)</f>
        <v>538.64867956767523</v>
      </c>
      <c r="H19" s="4">
        <f t="shared" si="5"/>
        <v>550.44518346516577</v>
      </c>
      <c r="I19" s="4">
        <f t="shared" si="5"/>
        <v>474.16916812462614</v>
      </c>
      <c r="J19" s="10">
        <f t="shared" si="5"/>
        <v>435.44479175512782</v>
      </c>
      <c r="K19" s="4">
        <f t="shared" si="5"/>
        <v>515.71326012297436</v>
      </c>
    </row>
    <row r="21" spans="1:15" x14ac:dyDescent="0.35">
      <c r="A21">
        <v>200003</v>
      </c>
      <c r="B21">
        <v>1</v>
      </c>
      <c r="C21" t="s">
        <v>16</v>
      </c>
      <c r="D21">
        <v>9112</v>
      </c>
      <c r="E21" s="4">
        <v>7736</v>
      </c>
      <c r="F21" s="4">
        <v>7386</v>
      </c>
      <c r="G21" s="4">
        <v>8296</v>
      </c>
      <c r="H21" s="4">
        <v>8016</v>
      </c>
      <c r="I21" s="4">
        <v>7716</v>
      </c>
      <c r="J21" s="4">
        <v>7726</v>
      </c>
      <c r="K21" s="4">
        <v>7396</v>
      </c>
      <c r="L21" s="5">
        <f>$E$27-E21</f>
        <v>-68.5</v>
      </c>
      <c r="N21" t="s">
        <v>9</v>
      </c>
    </row>
    <row r="22" spans="1:15" x14ac:dyDescent="0.35">
      <c r="A22">
        <v>300007</v>
      </c>
      <c r="B22">
        <v>2</v>
      </c>
      <c r="C22" t="s">
        <v>16</v>
      </c>
      <c r="D22">
        <v>9113</v>
      </c>
      <c r="E22" s="4">
        <v>7616</v>
      </c>
      <c r="F22" s="4">
        <v>7716</v>
      </c>
      <c r="G22" s="4">
        <v>7406</v>
      </c>
      <c r="H22" s="4">
        <v>7135</v>
      </c>
      <c r="I22" s="4">
        <v>6885</v>
      </c>
      <c r="J22" s="4">
        <v>6945</v>
      </c>
      <c r="K22" s="4">
        <v>7466</v>
      </c>
      <c r="L22" s="5">
        <f t="shared" ref="L22:L25" si="6">$E$27-E22</f>
        <v>51.5</v>
      </c>
      <c r="N22" t="s">
        <v>10</v>
      </c>
    </row>
    <row r="23" spans="1:15" x14ac:dyDescent="0.35">
      <c r="A23">
        <v>400009</v>
      </c>
      <c r="B23">
        <v>3</v>
      </c>
      <c r="C23" t="s">
        <v>16</v>
      </c>
      <c r="D23">
        <v>9114</v>
      </c>
      <c r="E23" s="4">
        <v>8176</v>
      </c>
      <c r="F23" s="4">
        <v>8687</v>
      </c>
      <c r="G23" s="4">
        <v>8757</v>
      </c>
      <c r="H23" s="4">
        <v>8857</v>
      </c>
      <c r="I23" s="4">
        <v>8477</v>
      </c>
      <c r="J23" s="4">
        <v>8176</v>
      </c>
      <c r="K23" s="4">
        <v>7856</v>
      </c>
      <c r="L23" s="5">
        <f t="shared" si="6"/>
        <v>-508.5</v>
      </c>
      <c r="N23" t="s">
        <v>11</v>
      </c>
    </row>
    <row r="24" spans="1:15" x14ac:dyDescent="0.35">
      <c r="A24">
        <v>500009</v>
      </c>
      <c r="B24">
        <v>4</v>
      </c>
      <c r="C24" t="s">
        <v>16</v>
      </c>
      <c r="D24">
        <v>9115</v>
      </c>
      <c r="E24" s="4">
        <v>7576</v>
      </c>
      <c r="F24" s="4">
        <v>8156</v>
      </c>
      <c r="G24" s="4">
        <v>8286</v>
      </c>
      <c r="H24" s="4">
        <v>8366</v>
      </c>
      <c r="I24" s="11">
        <v>8877</v>
      </c>
      <c r="J24" s="4">
        <v>8667</v>
      </c>
      <c r="K24" s="4">
        <v>8386</v>
      </c>
      <c r="L24" s="5">
        <f>$E$27-E24</f>
        <v>91.5</v>
      </c>
      <c r="N24" t="s">
        <v>12</v>
      </c>
    </row>
    <row r="25" spans="1:15" x14ac:dyDescent="0.35">
      <c r="A25" s="6">
        <v>600011</v>
      </c>
      <c r="B25">
        <v>5</v>
      </c>
      <c r="C25" t="s">
        <v>16</v>
      </c>
      <c r="D25">
        <v>9116</v>
      </c>
      <c r="E25" s="7">
        <v>7676</v>
      </c>
      <c r="F25" s="4">
        <v>7446</v>
      </c>
      <c r="G25" s="4">
        <v>7886</v>
      </c>
      <c r="H25" s="4">
        <v>7636</v>
      </c>
      <c r="I25" s="4">
        <v>7306</v>
      </c>
      <c r="J25" s="4">
        <v>7446</v>
      </c>
      <c r="K25" s="4">
        <v>7135</v>
      </c>
      <c r="L25" s="5">
        <f t="shared" si="6"/>
        <v>-8.5</v>
      </c>
      <c r="N25" t="s">
        <v>13</v>
      </c>
    </row>
    <row r="26" spans="1:15" x14ac:dyDescent="0.35">
      <c r="A26">
        <v>100313</v>
      </c>
      <c r="B26">
        <v>6</v>
      </c>
      <c r="C26" t="s">
        <v>16</v>
      </c>
      <c r="D26">
        <v>9117</v>
      </c>
      <c r="E26" s="4">
        <v>7225</v>
      </c>
      <c r="F26" s="4">
        <v>7316</v>
      </c>
      <c r="G26" s="4">
        <v>7416</v>
      </c>
      <c r="H26" s="4">
        <v>7536</v>
      </c>
      <c r="I26" s="4">
        <v>7286</v>
      </c>
      <c r="J26" s="4">
        <v>6965</v>
      </c>
      <c r="K26" s="4">
        <v>6655</v>
      </c>
      <c r="L26" s="5">
        <f>$E$27-E26</f>
        <v>442.5</v>
      </c>
      <c r="N26" t="s">
        <v>14</v>
      </c>
    </row>
    <row r="27" spans="1:15" x14ac:dyDescent="0.35">
      <c r="D27" t="s">
        <v>6</v>
      </c>
      <c r="E27" s="8">
        <f>AVERAGE(E21:E26)</f>
        <v>7667.5</v>
      </c>
      <c r="F27" s="5">
        <f t="shared" ref="F27:K27" si="7">AVERAGE(F21:F26)</f>
        <v>7784.5</v>
      </c>
      <c r="G27" s="5">
        <f t="shared" si="7"/>
        <v>8007.833333333333</v>
      </c>
      <c r="H27" s="5">
        <f t="shared" si="7"/>
        <v>7924.333333333333</v>
      </c>
      <c r="I27" s="5">
        <f t="shared" si="7"/>
        <v>7757.833333333333</v>
      </c>
      <c r="J27" s="5">
        <f t="shared" si="7"/>
        <v>7654.166666666667</v>
      </c>
      <c r="K27" s="5">
        <f t="shared" si="7"/>
        <v>7482.333333333333</v>
      </c>
      <c r="N27" t="s">
        <v>15</v>
      </c>
    </row>
    <row r="28" spans="1:15" x14ac:dyDescent="0.35">
      <c r="D28" t="s">
        <v>7</v>
      </c>
      <c r="E28" s="10">
        <f>STDEVA(E21:E26)</f>
        <v>306.6488219445821</v>
      </c>
      <c r="F28" s="4">
        <f t="shared" ref="F28:K28" si="8">STDEVA(F21:F26)</f>
        <v>538.53272881042244</v>
      </c>
      <c r="G28" s="4">
        <f t="shared" si="8"/>
        <v>538.32719294743663</v>
      </c>
      <c r="H28" s="4">
        <f t="shared" si="8"/>
        <v>621.34134472660571</v>
      </c>
      <c r="I28" s="4">
        <f t="shared" si="8"/>
        <v>769.42872747686431</v>
      </c>
      <c r="J28" s="4">
        <f t="shared" si="8"/>
        <v>681.83617289394874</v>
      </c>
      <c r="K28" s="4">
        <f t="shared" si="8"/>
        <v>594.82456797501789</v>
      </c>
      <c r="N28" s="12" t="s">
        <v>17</v>
      </c>
    </row>
    <row r="30" spans="1:15" hidden="1" x14ac:dyDescent="0.35">
      <c r="A30">
        <v>200003</v>
      </c>
      <c r="B30">
        <v>1</v>
      </c>
      <c r="C30" t="s">
        <v>18</v>
      </c>
      <c r="D30">
        <v>9118</v>
      </c>
      <c r="E30" s="4">
        <v>8477</v>
      </c>
      <c r="F30" s="4">
        <v>8176</v>
      </c>
      <c r="G30" s="4">
        <v>8366</v>
      </c>
      <c r="H30" s="4">
        <v>7996</v>
      </c>
      <c r="I30" s="4">
        <v>7766</v>
      </c>
      <c r="J30" s="4">
        <v>7456</v>
      </c>
      <c r="K30" s="4">
        <v>7596</v>
      </c>
      <c r="L30" s="5">
        <f>$I$36-I30</f>
        <v>195.16666666666697</v>
      </c>
      <c r="N30" s="12" t="s">
        <v>19</v>
      </c>
      <c r="O30" s="12"/>
    </row>
    <row r="31" spans="1:15" hidden="1" x14ac:dyDescent="0.35">
      <c r="A31">
        <v>300007</v>
      </c>
      <c r="B31">
        <v>2</v>
      </c>
      <c r="C31" t="s">
        <v>18</v>
      </c>
      <c r="D31">
        <v>9119</v>
      </c>
      <c r="E31" s="4">
        <v>8487</v>
      </c>
      <c r="F31" s="4">
        <v>8186</v>
      </c>
      <c r="G31" s="4">
        <v>7906</v>
      </c>
      <c r="H31" s="4">
        <v>7986</v>
      </c>
      <c r="I31" s="4">
        <v>7726</v>
      </c>
      <c r="J31" s="4">
        <v>7866</v>
      </c>
      <c r="K31" s="4">
        <v>7586</v>
      </c>
      <c r="L31" s="5">
        <f t="shared" ref="L31:L35" si="9">$I$36-I31</f>
        <v>235.16666666666697</v>
      </c>
      <c r="N31" t="s">
        <v>10</v>
      </c>
    </row>
    <row r="32" spans="1:15" hidden="1" x14ac:dyDescent="0.35">
      <c r="A32" s="6">
        <v>400009</v>
      </c>
      <c r="B32">
        <v>3</v>
      </c>
      <c r="C32" t="s">
        <v>18</v>
      </c>
      <c r="D32">
        <v>9120</v>
      </c>
      <c r="E32" s="4">
        <v>7876</v>
      </c>
      <c r="F32" s="4">
        <v>7926</v>
      </c>
      <c r="G32" s="4">
        <v>8076</v>
      </c>
      <c r="H32" s="4">
        <v>7716</v>
      </c>
      <c r="I32" s="7">
        <v>7806</v>
      </c>
      <c r="J32" s="4">
        <v>7916</v>
      </c>
      <c r="K32" s="4">
        <v>8386</v>
      </c>
      <c r="L32" s="5">
        <f t="shared" si="9"/>
        <v>155.16666666666697</v>
      </c>
      <c r="N32" t="s">
        <v>11</v>
      </c>
    </row>
    <row r="33" spans="1:14" hidden="1" x14ac:dyDescent="0.35">
      <c r="A33">
        <v>500009</v>
      </c>
      <c r="B33">
        <v>4</v>
      </c>
      <c r="C33" t="s">
        <v>18</v>
      </c>
      <c r="D33">
        <v>9121</v>
      </c>
      <c r="E33" s="4">
        <v>7646</v>
      </c>
      <c r="F33" s="4">
        <v>8607</v>
      </c>
      <c r="G33" s="4">
        <v>8747</v>
      </c>
      <c r="H33" s="4">
        <v>8487</v>
      </c>
      <c r="I33" s="4">
        <v>8567</v>
      </c>
      <c r="J33" s="4">
        <v>8627</v>
      </c>
      <c r="K33" s="4">
        <v>8767</v>
      </c>
      <c r="L33" s="5">
        <f t="shared" si="9"/>
        <v>-605.83333333333303</v>
      </c>
      <c r="N33" t="s">
        <v>12</v>
      </c>
    </row>
    <row r="34" spans="1:14" hidden="1" x14ac:dyDescent="0.35">
      <c r="A34">
        <v>600011</v>
      </c>
      <c r="B34">
        <v>5</v>
      </c>
      <c r="C34" t="s">
        <v>18</v>
      </c>
      <c r="D34">
        <v>9122</v>
      </c>
      <c r="E34" s="4">
        <v>7446</v>
      </c>
      <c r="F34" s="4">
        <v>7606</v>
      </c>
      <c r="G34" s="4">
        <v>7306</v>
      </c>
      <c r="H34" s="4">
        <v>7686</v>
      </c>
      <c r="I34" s="4">
        <v>8186</v>
      </c>
      <c r="J34" s="4">
        <v>7856</v>
      </c>
      <c r="K34" s="4">
        <v>7496</v>
      </c>
      <c r="L34" s="5">
        <f t="shared" si="9"/>
        <v>-224.83333333333303</v>
      </c>
      <c r="N34" t="s">
        <v>13</v>
      </c>
    </row>
    <row r="35" spans="1:14" hidden="1" x14ac:dyDescent="0.35">
      <c r="A35">
        <v>100313</v>
      </c>
      <c r="B35">
        <v>6</v>
      </c>
      <c r="C35" t="s">
        <v>18</v>
      </c>
      <c r="D35">
        <v>9123</v>
      </c>
      <c r="E35" s="4">
        <v>6955</v>
      </c>
      <c r="F35" s="4">
        <v>7075</v>
      </c>
      <c r="G35" s="4">
        <v>7546</v>
      </c>
      <c r="H35" s="4">
        <v>7215</v>
      </c>
      <c r="I35" s="4">
        <v>7716</v>
      </c>
      <c r="J35" s="4">
        <v>7426</v>
      </c>
      <c r="K35" s="4">
        <v>7486</v>
      </c>
      <c r="L35" s="5">
        <f t="shared" si="9"/>
        <v>245.16666666666697</v>
      </c>
      <c r="N35" t="s">
        <v>14</v>
      </c>
    </row>
    <row r="36" spans="1:14" hidden="1" x14ac:dyDescent="0.35">
      <c r="D36" t="s">
        <v>6</v>
      </c>
      <c r="E36" s="4">
        <f>AVERAGE(E30:E35)</f>
        <v>7814.5</v>
      </c>
      <c r="F36" s="4">
        <f t="shared" ref="F36:K36" si="10">AVERAGE(F30:F35)</f>
        <v>7929.333333333333</v>
      </c>
      <c r="G36" s="4">
        <f t="shared" si="10"/>
        <v>7991.166666666667</v>
      </c>
      <c r="H36" s="4">
        <f>AVERAGE(H30:H35)</f>
        <v>7847.666666666667</v>
      </c>
      <c r="I36" s="10">
        <f>AVERAGE(I30:I35)</f>
        <v>7961.166666666667</v>
      </c>
      <c r="J36" s="4">
        <f t="shared" si="10"/>
        <v>7857.833333333333</v>
      </c>
      <c r="K36" s="4">
        <f t="shared" si="10"/>
        <v>7886.166666666667</v>
      </c>
      <c r="N36" t="s">
        <v>15</v>
      </c>
    </row>
    <row r="37" spans="1:14" hidden="1" x14ac:dyDescent="0.35">
      <c r="D37" t="s">
        <v>7</v>
      </c>
      <c r="E37" s="4">
        <f>STDEVA(E30:E35)</f>
        <v>599.64481153429483</v>
      </c>
      <c r="F37" s="9">
        <f t="shared" ref="F37:K37" si="11">STDEVA(F30:F35)</f>
        <v>532.99068159459102</v>
      </c>
      <c r="G37" s="4">
        <f t="shared" si="11"/>
        <v>527.98879407300547</v>
      </c>
      <c r="H37" s="4">
        <f t="shared" si="11"/>
        <v>422.7588753257188</v>
      </c>
      <c r="I37" s="10">
        <f>STDEVA(I30:I35)</f>
        <v>345.01038631708855</v>
      </c>
      <c r="J37" s="4">
        <f t="shared" si="11"/>
        <v>434.28581218670575</v>
      </c>
      <c r="K37" s="4">
        <f t="shared" si="11"/>
        <v>549.97469638763084</v>
      </c>
    </row>
    <row r="38" spans="1:14" hidden="1" x14ac:dyDescent="0.35"/>
    <row r="39" spans="1:14" hidden="1" x14ac:dyDescent="0.35">
      <c r="E39" s="4"/>
      <c r="F39" s="4"/>
      <c r="G39" s="4"/>
      <c r="H39" s="4"/>
      <c r="I39" s="4"/>
      <c r="J39" s="4"/>
      <c r="K39" s="4"/>
    </row>
    <row r="40" spans="1:14" x14ac:dyDescent="0.35">
      <c r="E40" s="4"/>
      <c r="F40" s="4"/>
      <c r="G40" s="4"/>
      <c r="H40" s="4"/>
      <c r="I40" s="4"/>
      <c r="J40" s="4"/>
      <c r="K40" s="4"/>
    </row>
    <row r="41" spans="1:14" x14ac:dyDescent="0.35">
      <c r="E41" s="4"/>
      <c r="F41" s="4"/>
      <c r="G41" s="4"/>
      <c r="H41" s="4"/>
      <c r="I41" s="4"/>
      <c r="J41" s="4"/>
      <c r="K41" s="4"/>
    </row>
    <row r="42" spans="1:14" x14ac:dyDescent="0.35">
      <c r="E42" s="4"/>
      <c r="F42" s="4"/>
      <c r="G42" s="4"/>
      <c r="H42" s="4"/>
      <c r="I42" s="4"/>
      <c r="J42" s="4"/>
      <c r="K42" s="4"/>
    </row>
    <row r="43" spans="1:14" x14ac:dyDescent="0.35">
      <c r="E43" s="4"/>
      <c r="F43" s="4"/>
      <c r="G43" s="4"/>
      <c r="H43" s="4"/>
      <c r="I43" s="4"/>
      <c r="J43" s="4"/>
      <c r="K43" s="4"/>
    </row>
    <row r="44" spans="1:14" x14ac:dyDescent="0.35">
      <c r="E44" s="4"/>
      <c r="F44" s="4"/>
      <c r="G44" s="4"/>
      <c r="H44" s="4"/>
      <c r="I44" s="4"/>
      <c r="J44" s="4"/>
      <c r="K44" s="4"/>
    </row>
  </sheetData>
  <mergeCells count="1">
    <mergeCell ref="E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Sofía Sol Cremydas</dc:creator>
  <cp:lastModifiedBy>Sofía Sol Cremydas</cp:lastModifiedBy>
  <dcterms:created xsi:type="dcterms:W3CDTF">2025-12-01T00:37:00Z</dcterms:created>
  <dcterms:modified xsi:type="dcterms:W3CDTF">2025-12-01T01:02:00Z</dcterms:modified>
</cp:coreProperties>
</file>